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MMG Forms\Estimate\"/>
    </mc:Choice>
  </mc:AlternateContent>
  <xr:revisionPtr revIDLastSave="0" documentId="13_ncr:1_{BCD1A21F-0D85-413D-8980-8B900809B494}" xr6:coauthVersionLast="47" xr6:coauthVersionMax="47" xr10:uidLastSave="{00000000-0000-0000-0000-000000000000}"/>
  <bookViews>
    <workbookView xWindow="-120" yWindow="-120" windowWidth="20730" windowHeight="11040" activeTab="1" xr2:uid="{07F18C26-7CD6-4F93-9127-3AB3C379D16A}"/>
  </bookViews>
  <sheets>
    <sheet name="Initial" sheetId="5" r:id="rId1"/>
    <sheet name="R1" sheetId="7" r:id="rId2"/>
    <sheet name="PARTS" sheetId="6" r:id="rId3"/>
  </sheets>
  <definedNames>
    <definedName name="_xlnm.Print_Area" localSheetId="0">Initial!$A$2:$H$87</definedName>
    <definedName name="_xlnm.Print_Area" localSheetId="1">'R1'!$A$2:$H$87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6" l="1"/>
  <c r="H65" i="7" l="1"/>
  <c r="H70" i="7" s="1"/>
  <c r="G65" i="7"/>
  <c r="H69" i="7" s="1"/>
  <c r="K4" i="6"/>
  <c r="K5" i="6"/>
  <c r="K6" i="6"/>
  <c r="K7" i="6"/>
  <c r="K8" i="6"/>
  <c r="K9" i="6"/>
  <c r="K10" i="6"/>
  <c r="K11" i="6"/>
  <c r="K12" i="6"/>
  <c r="K13" i="6"/>
  <c r="K3" i="6"/>
  <c r="K15" i="6" s="1"/>
  <c r="L15" i="6" s="1"/>
  <c r="H4" i="6"/>
  <c r="D9" i="6"/>
  <c r="H10" i="6"/>
  <c r="H6" i="6"/>
  <c r="H3" i="6"/>
  <c r="J15" i="6"/>
  <c r="I15" i="6"/>
  <c r="D12" i="6"/>
  <c r="D11" i="6"/>
  <c r="H72" i="7" l="1"/>
  <c r="H76" i="7" s="1"/>
  <c r="D4" i="6"/>
  <c r="D5" i="6"/>
  <c r="D6" i="6"/>
  <c r="D7" i="6"/>
  <c r="D8" i="6"/>
  <c r="D10" i="6"/>
  <c r="D3" i="6"/>
  <c r="H65" i="5" l="1"/>
  <c r="H70" i="5" s="1"/>
  <c r="G65" i="5"/>
  <c r="H69" i="5" s="1"/>
  <c r="H72" i="5" l="1"/>
  <c r="H76" i="5" s="1"/>
</calcChain>
</file>

<file path=xl/sharedStrings.xml><?xml version="1.0" encoding="utf-8"?>
<sst xmlns="http://schemas.openxmlformats.org/spreadsheetml/2006/main" count="229" uniqueCount="100">
  <si>
    <t>REPAIR ESTIMATE</t>
  </si>
  <si>
    <t>Quotation No:</t>
  </si>
  <si>
    <t>Customer:</t>
  </si>
  <si>
    <t>Date:</t>
  </si>
  <si>
    <t>Address:</t>
  </si>
  <si>
    <t>Prepared by:</t>
  </si>
  <si>
    <t>Contact No.:</t>
  </si>
  <si>
    <t>-</t>
  </si>
  <si>
    <t>Vehicle:</t>
  </si>
  <si>
    <t>Insurance:</t>
  </si>
  <si>
    <t>Plate no.:</t>
  </si>
  <si>
    <t>Reference No.:</t>
  </si>
  <si>
    <t>Color:</t>
  </si>
  <si>
    <t>Days of Repair:</t>
  </si>
  <si>
    <t>Frame:</t>
  </si>
  <si>
    <t>DESCRIPTION</t>
  </si>
  <si>
    <t>PARTS:</t>
  </si>
  <si>
    <t>SCOPE OF WORK:</t>
  </si>
  <si>
    <t>**Nothing Follows**</t>
  </si>
  <si>
    <t>Subtotals</t>
  </si>
  <si>
    <t>ESTIMATE TOTALS</t>
  </si>
  <si>
    <t>TOTAL PARTS</t>
  </si>
  <si>
    <t>LABOR/SHOP MATERIALS</t>
  </si>
  <si>
    <t>12% VAT</t>
  </si>
  <si>
    <t>TOTAL</t>
  </si>
  <si>
    <t>LESS:</t>
  </si>
  <si>
    <t>DEDUCTIBLE</t>
  </si>
  <si>
    <t>DEPRECIATION</t>
  </si>
  <si>
    <t>NET DUE</t>
  </si>
  <si>
    <t>Notes:</t>
  </si>
  <si>
    <t>- 6 months warranty against paint application defects.</t>
  </si>
  <si>
    <t>- Hidden damages are not included.</t>
  </si>
  <si>
    <t>- Prices are subject to change without prior notice.</t>
  </si>
  <si>
    <t>- This estimate is not valid in court.</t>
  </si>
  <si>
    <t>Repair</t>
  </si>
  <si>
    <t>Process:</t>
  </si>
  <si>
    <t>PARTS</t>
  </si>
  <si>
    <t>LABOR</t>
  </si>
  <si>
    <t xml:space="preserve">DISCOUNT </t>
  </si>
  <si>
    <t>Blk 14 Lot 14, Road 7, Silcas Village, Binan, Laguna</t>
  </si>
  <si>
    <t xml:space="preserve"> </t>
  </si>
  <si>
    <t xml:space="preserve">MMG AUTOZONE CORP. </t>
  </si>
  <si>
    <t>0917 167 6663; 0917 178 6664</t>
  </si>
  <si>
    <t>BODY WORKS:</t>
  </si>
  <si>
    <t>Remove all parts necessary to give way for repair.</t>
  </si>
  <si>
    <t>PAINTING (LABOR &amp; SHOP MATERIALS):</t>
  </si>
  <si>
    <t>Repaint/ Rubdown/ Simonize all affected panels:</t>
  </si>
  <si>
    <t xml:space="preserve"> info@mmgautozone.com</t>
  </si>
  <si>
    <t>MARLO GRACILLA</t>
  </si>
  <si>
    <t>Straighten/ Reform/ Align the following parts:</t>
  </si>
  <si>
    <t>MARY LOU ORANDE</t>
  </si>
  <si>
    <t>05/12/2026</t>
  </si>
  <si>
    <t>2023 TOYOTA AVANZA</t>
  </si>
  <si>
    <t>NHRR3229</t>
  </si>
  <si>
    <t>0920 968 8933</t>
  </si>
  <si>
    <t>10 WORKING DAYS</t>
  </si>
  <si>
    <t>MHFAA1BY6P0017037</t>
  </si>
  <si>
    <t>DARK RED METALLIC (3Q3)</t>
  </si>
  <si>
    <t xml:space="preserve">ALABANG </t>
  </si>
  <si>
    <t>HOOD PANEL</t>
  </si>
  <si>
    <t>FRONT BUMPER COVER</t>
  </si>
  <si>
    <t>FRONT BUMPER REINFORCEMENT</t>
  </si>
  <si>
    <t>LH HEADLIGHT ASSY</t>
  </si>
  <si>
    <t>FRONT BUMPER GRILLE</t>
  </si>
  <si>
    <t>RADIATOR GRILLE MOULDING</t>
  </si>
  <si>
    <t>RADIATOR SUPPORT LOWER</t>
  </si>
  <si>
    <t>RADIATOR SUPPORT UPPER</t>
  </si>
  <si>
    <t>LH RADIATOR STAY</t>
  </si>
  <si>
    <t xml:space="preserve">RADIATOR </t>
  </si>
  <si>
    <t>CONDENSER</t>
  </si>
  <si>
    <t>AIR CLEANER HOUSING</t>
  </si>
  <si>
    <t>LH HOOD HINGE</t>
  </si>
  <si>
    <t>RH HOOD HINGE</t>
  </si>
  <si>
    <t>LH FENDER LINER</t>
  </si>
  <si>
    <t>RADIAROR SUPPORT LOWER</t>
  </si>
  <si>
    <t>JERVY</t>
  </si>
  <si>
    <t>YANYUNG</t>
  </si>
  <si>
    <t>GENUINE USED</t>
  </si>
  <si>
    <t>REPLACEMENT</t>
  </si>
  <si>
    <t>AIRCON WORKS:</t>
  </si>
  <si>
    <t>Dehydrate/ Recharge Refrigerant</t>
  </si>
  <si>
    <t>Perform leak test</t>
  </si>
  <si>
    <t>Perform vacuum operation</t>
  </si>
  <si>
    <t>Check A/C System and Performance</t>
  </si>
  <si>
    <t>RH FENDER PANEL (BLEND)</t>
  </si>
  <si>
    <t>LH FENDER PANEL (BLEND)</t>
  </si>
  <si>
    <t>LH AIR GUIDE</t>
  </si>
  <si>
    <t>MECHANICAL WORKS:</t>
  </si>
  <si>
    <t>Remove and replace RADIATOR ASSY</t>
  </si>
  <si>
    <t>Remove and replace A/C Condenser</t>
  </si>
  <si>
    <t>TOW HOOK COVER</t>
  </si>
  <si>
    <t>GENUINE BRANDNEW</t>
  </si>
  <si>
    <t>SHOPEE</t>
  </si>
  <si>
    <t>MMG</t>
  </si>
  <si>
    <t>COST</t>
  </si>
  <si>
    <t>JUANCHO</t>
  </si>
  <si>
    <t>PROFIT</t>
  </si>
  <si>
    <t>20% on Labor</t>
  </si>
  <si>
    <t>05/13/2026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</si>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</sst>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Eurostile"/>
      <family val="2"/>
    </font>
    <font>
      <sz val="11"/>
      <color theme="1"/>
      <name val="Eurostile"/>
      <family val="2"/>
    </font>
    <font>
      <b/>
      <sz val="11"/>
      <color theme="1"/>
      <name val="Eurostile"/>
      <family val="2"/>
    </font>
    <font>
      <b/>
      <u/>
      <sz val="11"/>
      <color theme="1"/>
      <name val="Eurostile"/>
      <family val="2"/>
    </font>
    <font>
      <u/>
      <sz val="11"/>
      <color theme="1"/>
      <name val="Eurostile"/>
      <family val="2"/>
    </font>
    <font>
      <b/>
      <sz val="11"/>
      <color rgb="FF000000"/>
      <name val="Eurostile"/>
      <family val="2"/>
    </font>
    <font>
      <i/>
      <sz val="11"/>
      <color theme="1"/>
      <name val="Eurostil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/>
    <xf numFmtId="49" fontId="4" fillId="0" borderId="1" xfId="0" applyNumberFormat="1" applyFont="1" applyBorder="1"/>
    <xf numFmtId="14" fontId="3" fillId="0" borderId="1" xfId="0" applyNumberFormat="1" applyFont="1" applyBorder="1"/>
    <xf numFmtId="43" fontId="3" fillId="0" borderId="1" xfId="1" applyFont="1" applyBorder="1"/>
    <xf numFmtId="0" fontId="4" fillId="0" borderId="2" xfId="0" applyFont="1" applyBorder="1" applyAlignment="1">
      <alignment horizontal="left"/>
    </xf>
    <xf numFmtId="0" fontId="3" fillId="0" borderId="2" xfId="0" applyFont="1" applyBorder="1"/>
    <xf numFmtId="0" fontId="4" fillId="0" borderId="1" xfId="0" applyFont="1" applyBorder="1"/>
    <xf numFmtId="43" fontId="3" fillId="0" borderId="2" xfId="1" applyFont="1" applyBorder="1"/>
    <xf numFmtId="0" fontId="3" fillId="2" borderId="3" xfId="0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0" fontId="5" fillId="0" borderId="0" xfId="0" applyFont="1"/>
    <xf numFmtId="43" fontId="3" fillId="0" borderId="0" xfId="0" applyNumberFormat="1" applyFont="1"/>
    <xf numFmtId="0" fontId="3" fillId="0" borderId="4" xfId="0" applyFont="1" applyBorder="1"/>
    <xf numFmtId="43" fontId="3" fillId="0" borderId="2" xfId="0" applyNumberFormat="1" applyFont="1" applyBorder="1"/>
    <xf numFmtId="43" fontId="3" fillId="0" borderId="0" xfId="1" applyFont="1" applyBorder="1"/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2" xfId="0" applyFont="1" applyBorder="1"/>
    <xf numFmtId="43" fontId="4" fillId="0" borderId="5" xfId="1" applyFont="1" applyBorder="1"/>
    <xf numFmtId="0" fontId="4" fillId="0" borderId="0" xfId="0" applyFont="1" applyAlignment="1">
      <alignment horizontal="right"/>
    </xf>
    <xf numFmtId="0" fontId="3" fillId="0" borderId="0" xfId="0" quotePrefix="1" applyFont="1"/>
    <xf numFmtId="0" fontId="3" fillId="0" borderId="0" xfId="1" applyNumberFormat="1" applyFont="1"/>
    <xf numFmtId="43" fontId="3" fillId="0" borderId="2" xfId="1" applyFont="1" applyFill="1" applyBorder="1"/>
    <xf numFmtId="0" fontId="3" fillId="0" borderId="1" xfId="0" applyFont="1" applyBorder="1" applyAlignment="1">
      <alignment horizontal="left"/>
    </xf>
    <xf numFmtId="0" fontId="4" fillId="0" borderId="2" xfId="0" applyFont="1" applyBorder="1"/>
    <xf numFmtId="49" fontId="4" fillId="0" borderId="1" xfId="0" quotePrefix="1" applyNumberFormat="1" applyFont="1" applyBorder="1"/>
    <xf numFmtId="0" fontId="4" fillId="0" borderId="2" xfId="0" applyFont="1" applyBorder="1" applyAlignment="1">
      <alignment horizontal="center"/>
    </xf>
    <xf numFmtId="43" fontId="4" fillId="0" borderId="2" xfId="0" applyNumberFormat="1" applyFont="1" applyBorder="1" applyAlignment="1">
      <alignment horizontal="center"/>
    </xf>
    <xf numFmtId="0" fontId="8" fillId="0" borderId="0" xfId="0" applyFont="1"/>
    <xf numFmtId="43" fontId="3" fillId="0" borderId="0" xfId="1" applyFont="1" applyFill="1" applyBorder="1"/>
    <xf numFmtId="0" fontId="7" fillId="0" borderId="1" xfId="0" applyFont="1" applyBorder="1"/>
    <xf numFmtId="0" fontId="7" fillId="0" borderId="2" xfId="0" applyFont="1" applyBorder="1"/>
    <xf numFmtId="9" fontId="4" fillId="0" borderId="2" xfId="0" applyNumberFormat="1" applyFont="1" applyBorder="1" applyAlignment="1">
      <alignment horizontal="center"/>
    </xf>
    <xf numFmtId="43" fontId="4" fillId="0" borderId="0" xfId="0" applyNumberFormat="1" applyFont="1"/>
    <xf numFmtId="43" fontId="4" fillId="0" borderId="0" xfId="1" applyFont="1"/>
    <xf numFmtId="9" fontId="3" fillId="0" borderId="0" xfId="2" applyFont="1"/>
    <xf numFmtId="0" fontId="3" fillId="3" borderId="0" xfId="0" applyFont="1" applyFill="1"/>
    <xf numFmtId="43" fontId="3" fillId="3" borderId="2" xfId="1" applyFont="1" applyFill="1" applyBorder="1"/>
    <xf numFmtId="0" fontId="6" fillId="3" borderId="2" xfId="0" quotePrefix="1" applyFont="1" applyFill="1" applyBorder="1"/>
    <xf numFmtId="43" fontId="4" fillId="3" borderId="5" xfId="1" applyFont="1" applyFill="1" applyBorder="1"/>
    <xf numFmtId="43" fontId="3" fillId="3" borderId="0" xfId="0" applyNumberFormat="1" applyFont="1" applyFill="1"/>
    <xf numFmtId="43" fontId="3" fillId="3" borderId="0" xfId="1" applyFont="1" applyFill="1"/>
    <xf numFmtId="0" fontId="3" fillId="2" borderId="3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65</xdr:row>
      <xdr:rowOff>38100</xdr:rowOff>
    </xdr:from>
    <xdr:to>
      <xdr:col>3</xdr:col>
      <xdr:colOff>415925</xdr:colOff>
      <xdr:row>77</xdr:row>
      <xdr:rowOff>15873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F489A-5F3C-4A15-916D-63A7EB5D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394450"/>
          <a:ext cx="3571874" cy="212407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80</xdr:row>
      <xdr:rowOff>19050</xdr:rowOff>
    </xdr:from>
    <xdr:to>
      <xdr:col>7</xdr:col>
      <xdr:colOff>796304</xdr:colOff>
      <xdr:row>87</xdr:row>
      <xdr:rowOff>92614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509C7-26C9-4E23-8DFC-7B8D19DE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0" y="9055100"/>
          <a:ext cx="6587504" cy="1318164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790576</xdr:colOff>
      <xdr:row>0</xdr:row>
      <xdr:rowOff>95249</xdr:rowOff>
    </xdr:from>
    <xdr:to>
      <xdr:col>4</xdr:col>
      <xdr:colOff>200356</xdr:colOff>
      <xdr:row>4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B15D43-E029-4034-AEB5-6750F7412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/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colorTemperature colorTemp="5300"/>
                  </a14:imgEffect>
                  <a14:imgEffect>
                    <a14:saturation sat="0"/>
                  </a14:imgEffect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776" y="95249"/>
          <a:ext cx="1308430" cy="7683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65</xdr:row>
      <xdr:rowOff>38100</xdr:rowOff>
    </xdr:from>
    <xdr:to>
      <xdr:col>3</xdr:col>
      <xdr:colOff>415925</xdr:colOff>
      <xdr:row>77</xdr:row>
      <xdr:rowOff>15873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87B7C6-0992-4A3E-8E37-5A950D45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1728450"/>
          <a:ext cx="3571874" cy="212407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80</xdr:row>
      <xdr:rowOff>19050</xdr:rowOff>
    </xdr:from>
    <xdr:to>
      <xdr:col>7</xdr:col>
      <xdr:colOff>796304</xdr:colOff>
      <xdr:row>87</xdr:row>
      <xdr:rowOff>92614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2CFA43-A9D0-43B2-9E9F-AAA8784C8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0" y="14389100"/>
          <a:ext cx="6587504" cy="1318164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790576</xdr:colOff>
      <xdr:row>0</xdr:row>
      <xdr:rowOff>95249</xdr:rowOff>
    </xdr:from>
    <xdr:to>
      <xdr:col>4</xdr:col>
      <xdr:colOff>200356</xdr:colOff>
      <xdr:row>4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3A33AB-61DB-4830-BB4D-DBA8CB3BE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/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colorTemperature colorTemp="5300"/>
                  </a14:imgEffect>
                  <a14:imgEffect>
                    <a14:saturation sat="0"/>
                  </a14:imgEffect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776" y="95249"/>
          <a:ext cx="1308430" cy="768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464C-6841-4393-9819-1AAE9A060490}">
  <sheetPr>
    <pageSetUpPr fitToPage="1"/>
  </sheetPr>
  <dimension ref="A2:O82"/>
  <sheetViews>
    <sheetView topLeftCell="A71" zoomScale="87" zoomScaleNormal="87" workbookViewId="0">
      <selection activeCell="C36" sqref="C36"/>
    </sheetView>
  </sheetViews>
  <sheetFormatPr defaultColWidth="9.140625" defaultRowHeight="14.25" x14ac:dyDescent="0.2"/>
  <cols>
    <col min="1" max="1" width="16.28515625" style="2" customWidth="1"/>
    <col min="2" max="2" width="15.7109375" style="2" bestFit="1" customWidth="1"/>
    <col min="3" max="3" width="13.140625" style="2" customWidth="1"/>
    <col min="4" max="4" width="14" style="2" customWidth="1"/>
    <col min="5" max="5" width="13" style="2" customWidth="1"/>
    <col min="6" max="6" width="13.5703125" style="2" customWidth="1"/>
    <col min="7" max="7" width="14" style="2" customWidth="1"/>
    <col min="8" max="8" width="16.28515625" style="3" customWidth="1"/>
    <col min="9" max="11" width="12.28515625" style="2" bestFit="1" customWidth="1"/>
    <col min="12" max="16384" width="9.140625" style="2"/>
  </cols>
  <sheetData>
    <row r="2" spans="1:8" ht="25.5" x14ac:dyDescent="0.35">
      <c r="A2" s="1" t="s">
        <v>0</v>
      </c>
      <c r="E2" s="2" t="s">
        <v>41</v>
      </c>
    </row>
    <row r="3" spans="1:8" x14ac:dyDescent="0.2">
      <c r="A3" s="2" t="s">
        <v>1</v>
      </c>
      <c r="B3" s="4">
        <v>2605006</v>
      </c>
      <c r="E3" s="2" t="s">
        <v>39</v>
      </c>
    </row>
    <row r="4" spans="1:8" x14ac:dyDescent="0.2">
      <c r="E4" s="2" t="s">
        <v>42</v>
      </c>
    </row>
    <row r="5" spans="1:8" x14ac:dyDescent="0.2">
      <c r="E5" s="2" t="s">
        <v>47</v>
      </c>
    </row>
    <row r="6" spans="1:8" x14ac:dyDescent="0.2">
      <c r="B6" s="22"/>
      <c r="C6" s="22"/>
      <c r="D6" s="22"/>
    </row>
    <row r="7" spans="1:8" x14ac:dyDescent="0.2">
      <c r="A7" s="2" t="s">
        <v>2</v>
      </c>
      <c r="B7" s="5" t="s">
        <v>50</v>
      </c>
      <c r="C7" s="29"/>
      <c r="D7" s="29"/>
      <c r="E7" s="2" t="s">
        <v>3</v>
      </c>
      <c r="F7" s="31" t="s">
        <v>51</v>
      </c>
      <c r="G7" s="8"/>
      <c r="H7" s="9"/>
    </row>
    <row r="8" spans="1:8" x14ac:dyDescent="0.2">
      <c r="A8" s="2" t="s">
        <v>4</v>
      </c>
      <c r="B8" s="37" t="s">
        <v>58</v>
      </c>
      <c r="C8" s="21"/>
      <c r="D8" s="21"/>
      <c r="E8" s="2" t="s">
        <v>5</v>
      </c>
      <c r="F8" s="12" t="s">
        <v>48</v>
      </c>
      <c r="G8" s="6"/>
      <c r="H8" s="9"/>
    </row>
    <row r="9" spans="1:8" x14ac:dyDescent="0.2">
      <c r="A9" s="2" t="s">
        <v>6</v>
      </c>
      <c r="B9" s="36" t="s">
        <v>54</v>
      </c>
      <c r="C9" s="21"/>
      <c r="D9" s="21"/>
      <c r="E9" s="2" t="s">
        <v>8</v>
      </c>
      <c r="F9" s="12" t="s">
        <v>52</v>
      </c>
      <c r="G9" s="6"/>
      <c r="H9" s="9"/>
    </row>
    <row r="10" spans="1:8" x14ac:dyDescent="0.2">
      <c r="A10" s="2" t="s">
        <v>9</v>
      </c>
      <c r="B10" s="5" t="s">
        <v>7</v>
      </c>
      <c r="C10" s="29"/>
      <c r="D10" s="29"/>
      <c r="E10" s="2" t="s">
        <v>10</v>
      </c>
      <c r="F10" s="7" t="s">
        <v>53</v>
      </c>
      <c r="G10" s="11"/>
      <c r="H10" s="13"/>
    </row>
    <row r="11" spans="1:8" x14ac:dyDescent="0.2">
      <c r="A11" s="2" t="s">
        <v>11</v>
      </c>
      <c r="B11" s="5" t="s">
        <v>7</v>
      </c>
      <c r="C11" s="29"/>
      <c r="D11" s="29"/>
      <c r="E11" s="2" t="s">
        <v>12</v>
      </c>
      <c r="F11" s="7" t="s">
        <v>57</v>
      </c>
      <c r="G11" s="11"/>
      <c r="H11" s="13"/>
    </row>
    <row r="12" spans="1:8" x14ac:dyDescent="0.2">
      <c r="A12" s="2" t="s">
        <v>13</v>
      </c>
      <c r="B12" s="10" t="s">
        <v>55</v>
      </c>
      <c r="C12" s="21"/>
      <c r="D12" s="21"/>
      <c r="E12" s="2" t="s">
        <v>14</v>
      </c>
      <c r="F12" s="30" t="s">
        <v>56</v>
      </c>
      <c r="G12" s="11"/>
      <c r="H12" s="13"/>
    </row>
    <row r="14" spans="1:8" x14ac:dyDescent="0.2">
      <c r="A14" s="48" t="s">
        <v>15</v>
      </c>
      <c r="B14" s="48"/>
      <c r="C14" s="48"/>
      <c r="D14" s="48"/>
      <c r="E14" s="48"/>
      <c r="F14" s="14"/>
      <c r="G14" s="14" t="s">
        <v>36</v>
      </c>
      <c r="H14" s="15" t="s">
        <v>37</v>
      </c>
    </row>
    <row r="15" spans="1:8" x14ac:dyDescent="0.2">
      <c r="A15" s="16"/>
      <c r="F15" s="27"/>
      <c r="G15" s="3"/>
    </row>
    <row r="16" spans="1:8" x14ac:dyDescent="0.2">
      <c r="A16" s="16" t="s">
        <v>16</v>
      </c>
      <c r="F16" s="27"/>
      <c r="G16" s="3"/>
    </row>
    <row r="17" spans="1:9" x14ac:dyDescent="0.2">
      <c r="A17" s="2" t="s">
        <v>59</v>
      </c>
      <c r="C17" s="34" t="s">
        <v>77</v>
      </c>
      <c r="F17" s="27"/>
      <c r="G17" s="3">
        <v>7000</v>
      </c>
    </row>
    <row r="18" spans="1:9" x14ac:dyDescent="0.2">
      <c r="A18" s="2" t="s">
        <v>60</v>
      </c>
      <c r="C18" s="34" t="s">
        <v>77</v>
      </c>
      <c r="F18" s="27"/>
      <c r="G18" s="3">
        <v>4500</v>
      </c>
    </row>
    <row r="19" spans="1:9" x14ac:dyDescent="0.2">
      <c r="A19" s="2" t="s">
        <v>61</v>
      </c>
      <c r="C19" s="34" t="s">
        <v>77</v>
      </c>
      <c r="F19" s="27"/>
      <c r="G19" s="3">
        <v>4500</v>
      </c>
    </row>
    <row r="20" spans="1:9" x14ac:dyDescent="0.2">
      <c r="A20" s="2" t="s">
        <v>63</v>
      </c>
      <c r="C20" s="34" t="s">
        <v>77</v>
      </c>
      <c r="F20" s="27"/>
      <c r="G20" s="3">
        <v>3800</v>
      </c>
    </row>
    <row r="21" spans="1:9" x14ac:dyDescent="0.2">
      <c r="A21" s="2" t="s">
        <v>65</v>
      </c>
      <c r="C21" s="34" t="s">
        <v>77</v>
      </c>
      <c r="F21" s="27"/>
      <c r="G21" s="3">
        <v>4500</v>
      </c>
    </row>
    <row r="22" spans="1:9" x14ac:dyDescent="0.2">
      <c r="A22" s="2" t="s">
        <v>70</v>
      </c>
      <c r="C22" s="34" t="s">
        <v>77</v>
      </c>
      <c r="F22" s="27"/>
      <c r="G22" s="3">
        <v>6800</v>
      </c>
    </row>
    <row r="23" spans="1:9" x14ac:dyDescent="0.2">
      <c r="A23" s="2" t="s">
        <v>86</v>
      </c>
      <c r="C23" s="34" t="s">
        <v>77</v>
      </c>
      <c r="F23" s="27"/>
      <c r="G23" s="3">
        <v>3000</v>
      </c>
    </row>
    <row r="24" spans="1:9" x14ac:dyDescent="0.2">
      <c r="A24" s="2" t="s">
        <v>62</v>
      </c>
      <c r="C24" s="34" t="s">
        <v>77</v>
      </c>
      <c r="F24" s="27"/>
      <c r="G24" s="3">
        <v>11300</v>
      </c>
    </row>
    <row r="25" spans="1:9" x14ac:dyDescent="0.2">
      <c r="A25" s="2" t="s">
        <v>68</v>
      </c>
      <c r="C25" s="34" t="s">
        <v>78</v>
      </c>
      <c r="F25" s="27"/>
      <c r="G25" s="3">
        <v>6000</v>
      </c>
    </row>
    <row r="26" spans="1:9" x14ac:dyDescent="0.2">
      <c r="A26" s="2" t="s">
        <v>69</v>
      </c>
      <c r="C26" s="34" t="s">
        <v>78</v>
      </c>
      <c r="F26" s="27"/>
      <c r="G26" s="3">
        <v>6000</v>
      </c>
    </row>
    <row r="27" spans="1:9" x14ac:dyDescent="0.2">
      <c r="A27" s="2" t="s">
        <v>90</v>
      </c>
      <c r="C27" s="34" t="s">
        <v>91</v>
      </c>
      <c r="F27" s="27"/>
      <c r="G27" s="3">
        <v>290</v>
      </c>
    </row>
    <row r="28" spans="1:9" x14ac:dyDescent="0.2">
      <c r="F28" s="27"/>
      <c r="G28" s="3"/>
    </row>
    <row r="29" spans="1:9" x14ac:dyDescent="0.2">
      <c r="A29" s="16" t="s">
        <v>17</v>
      </c>
      <c r="F29" s="3"/>
      <c r="G29" s="3"/>
    </row>
    <row r="30" spans="1:9" x14ac:dyDescent="0.2">
      <c r="A30" s="11" t="s">
        <v>43</v>
      </c>
      <c r="B30" s="11"/>
      <c r="C30" s="11"/>
      <c r="D30" s="11"/>
      <c r="E30" s="11"/>
      <c r="F30" s="13"/>
      <c r="G30" s="13"/>
      <c r="H30" s="28">
        <v>20000</v>
      </c>
      <c r="I30" s="17"/>
    </row>
    <row r="31" spans="1:9" x14ac:dyDescent="0.2">
      <c r="A31" s="2" t="s">
        <v>49</v>
      </c>
      <c r="F31" s="20"/>
      <c r="G31" s="20"/>
      <c r="H31" s="35"/>
      <c r="I31" s="17"/>
    </row>
    <row r="32" spans="1:9" x14ac:dyDescent="0.2">
      <c r="A32" s="2" t="s">
        <v>66</v>
      </c>
      <c r="F32" s="20"/>
      <c r="G32" s="20"/>
      <c r="H32" s="35"/>
      <c r="I32" s="17"/>
    </row>
    <row r="33" spans="1:15" x14ac:dyDescent="0.2">
      <c r="A33" s="2" t="s">
        <v>67</v>
      </c>
      <c r="F33" s="20"/>
      <c r="G33" s="20"/>
      <c r="H33" s="35"/>
      <c r="I33" s="17"/>
    </row>
    <row r="34" spans="1:15" x14ac:dyDescent="0.2">
      <c r="A34" s="2" t="s">
        <v>71</v>
      </c>
      <c r="F34" s="20"/>
      <c r="G34" s="20"/>
      <c r="H34" s="35"/>
      <c r="I34" s="17"/>
    </row>
    <row r="35" spans="1:15" x14ac:dyDescent="0.2">
      <c r="A35" s="2" t="s">
        <v>72</v>
      </c>
      <c r="F35" s="20"/>
      <c r="G35" s="20"/>
      <c r="H35" s="35"/>
      <c r="I35" s="17"/>
    </row>
    <row r="36" spans="1:15" x14ac:dyDescent="0.2">
      <c r="A36" s="2" t="s">
        <v>73</v>
      </c>
      <c r="F36" s="20"/>
      <c r="G36" s="20"/>
      <c r="H36" s="35"/>
      <c r="I36" s="17"/>
    </row>
    <row r="37" spans="1:15" x14ac:dyDescent="0.2">
      <c r="A37" s="2" t="s">
        <v>64</v>
      </c>
      <c r="F37" s="20"/>
      <c r="G37" s="20"/>
      <c r="H37" s="35"/>
      <c r="I37" s="17"/>
      <c r="J37" s="35"/>
      <c r="K37" s="35"/>
      <c r="L37" s="35"/>
      <c r="M37" s="35"/>
      <c r="O37" s="35"/>
    </row>
    <row r="38" spans="1:15" x14ac:dyDescent="0.2">
      <c r="F38" s="20"/>
      <c r="G38" s="20"/>
      <c r="H38" s="35"/>
      <c r="I38" s="17"/>
    </row>
    <row r="39" spans="1:15" x14ac:dyDescent="0.2">
      <c r="A39" s="2" t="s">
        <v>44</v>
      </c>
      <c r="F39" s="3"/>
      <c r="I39" s="17"/>
    </row>
    <row r="40" spans="1:15" x14ac:dyDescent="0.2">
      <c r="F40" s="3"/>
      <c r="I40" s="17"/>
    </row>
    <row r="41" spans="1:15" x14ac:dyDescent="0.2">
      <c r="A41" s="11" t="s">
        <v>87</v>
      </c>
      <c r="B41" s="11"/>
      <c r="C41" s="11"/>
      <c r="D41" s="11"/>
      <c r="E41" s="11"/>
      <c r="F41" s="13"/>
      <c r="G41" s="11"/>
      <c r="H41" s="13">
        <v>1500</v>
      </c>
      <c r="I41" s="17"/>
    </row>
    <row r="42" spans="1:15" x14ac:dyDescent="0.2">
      <c r="A42" s="2" t="s">
        <v>88</v>
      </c>
      <c r="F42" s="20"/>
      <c r="H42" s="20"/>
      <c r="I42" s="17"/>
    </row>
    <row r="43" spans="1:15" x14ac:dyDescent="0.2">
      <c r="A43" s="2" t="s">
        <v>81</v>
      </c>
      <c r="F43" s="3"/>
      <c r="I43" s="17"/>
    </row>
    <row r="44" spans="1:15" x14ac:dyDescent="0.2">
      <c r="F44" s="3"/>
      <c r="I44" s="17"/>
    </row>
    <row r="45" spans="1:15" x14ac:dyDescent="0.2">
      <c r="A45" s="11" t="s">
        <v>79</v>
      </c>
      <c r="B45" s="11"/>
      <c r="C45" s="11"/>
      <c r="D45" s="11"/>
      <c r="E45" s="11"/>
      <c r="F45" s="13"/>
      <c r="G45" s="11"/>
      <c r="H45" s="13">
        <v>2000</v>
      </c>
      <c r="I45" s="17"/>
    </row>
    <row r="46" spans="1:15" x14ac:dyDescent="0.2">
      <c r="A46" s="2" t="s">
        <v>80</v>
      </c>
      <c r="F46" s="3"/>
      <c r="I46" s="17"/>
    </row>
    <row r="47" spans="1:15" x14ac:dyDescent="0.2">
      <c r="A47" s="2" t="s">
        <v>89</v>
      </c>
      <c r="F47" s="3"/>
      <c r="I47" s="17"/>
    </row>
    <row r="48" spans="1:15" x14ac:dyDescent="0.2">
      <c r="A48" s="2" t="s">
        <v>81</v>
      </c>
      <c r="F48" s="3"/>
      <c r="I48" s="17"/>
    </row>
    <row r="49" spans="1:9" x14ac:dyDescent="0.2">
      <c r="A49" s="2" t="s">
        <v>82</v>
      </c>
      <c r="F49" s="3"/>
      <c r="I49" s="17"/>
    </row>
    <row r="50" spans="1:9" x14ac:dyDescent="0.2">
      <c r="A50" s="2" t="s">
        <v>83</v>
      </c>
      <c r="F50" s="3"/>
      <c r="I50" s="17"/>
    </row>
    <row r="51" spans="1:9" x14ac:dyDescent="0.2">
      <c r="F51" s="3"/>
      <c r="I51" s="17"/>
    </row>
    <row r="52" spans="1:9" x14ac:dyDescent="0.2">
      <c r="A52" s="11" t="s">
        <v>45</v>
      </c>
      <c r="B52" s="13"/>
      <c r="C52" s="13"/>
      <c r="D52" s="13"/>
      <c r="E52" s="13"/>
      <c r="F52" s="13"/>
      <c r="G52" s="13"/>
      <c r="H52" s="13">
        <v>25500</v>
      </c>
      <c r="I52" s="17"/>
    </row>
    <row r="53" spans="1:9" x14ac:dyDescent="0.2">
      <c r="A53" s="2" t="s">
        <v>46</v>
      </c>
      <c r="F53" s="3"/>
      <c r="I53" s="17"/>
    </row>
    <row r="54" spans="1:9" x14ac:dyDescent="0.2">
      <c r="A54" s="2" t="s">
        <v>60</v>
      </c>
      <c r="F54" s="3"/>
      <c r="I54" s="17"/>
    </row>
    <row r="55" spans="1:9" x14ac:dyDescent="0.2">
      <c r="A55" s="2" t="s">
        <v>59</v>
      </c>
      <c r="F55" s="3"/>
      <c r="I55" s="17"/>
    </row>
    <row r="56" spans="1:9" x14ac:dyDescent="0.2">
      <c r="A56" s="2" t="s">
        <v>66</v>
      </c>
      <c r="F56" s="3"/>
      <c r="I56" s="17"/>
    </row>
    <row r="57" spans="1:9" x14ac:dyDescent="0.2">
      <c r="A57" s="2" t="s">
        <v>74</v>
      </c>
      <c r="F57" s="3"/>
      <c r="I57" s="17"/>
    </row>
    <row r="58" spans="1:9" x14ac:dyDescent="0.2">
      <c r="A58" s="2" t="s">
        <v>67</v>
      </c>
      <c r="F58" s="3"/>
      <c r="I58" s="17"/>
    </row>
    <row r="59" spans="1:9" x14ac:dyDescent="0.2">
      <c r="A59" s="2" t="s">
        <v>64</v>
      </c>
      <c r="F59" s="3"/>
      <c r="I59" s="17"/>
    </row>
    <row r="60" spans="1:9" x14ac:dyDescent="0.2">
      <c r="A60" s="2" t="s">
        <v>84</v>
      </c>
      <c r="F60" s="3"/>
      <c r="I60" s="17"/>
    </row>
    <row r="61" spans="1:9" x14ac:dyDescent="0.2">
      <c r="A61" s="2" t="s">
        <v>85</v>
      </c>
      <c r="F61" s="3"/>
      <c r="I61" s="17"/>
    </row>
    <row r="62" spans="1:9" x14ac:dyDescent="0.2">
      <c r="F62" s="3"/>
      <c r="I62" s="17"/>
    </row>
    <row r="63" spans="1:9" x14ac:dyDescent="0.2">
      <c r="D63" s="2" t="s">
        <v>18</v>
      </c>
    </row>
    <row r="64" spans="1:9" x14ac:dyDescent="0.2">
      <c r="D64" s="2" t="s">
        <v>40</v>
      </c>
    </row>
    <row r="65" spans="1:10" x14ac:dyDescent="0.2">
      <c r="A65" s="18"/>
      <c r="B65" s="11"/>
      <c r="C65" s="11"/>
      <c r="D65" s="11"/>
      <c r="E65" s="11" t="s">
        <v>19</v>
      </c>
      <c r="F65" s="19"/>
      <c r="G65" s="19">
        <f>SUM(G15:G64)</f>
        <v>57690</v>
      </c>
      <c r="H65" s="19">
        <f>SUM(H15:H64)</f>
        <v>49000</v>
      </c>
    </row>
    <row r="66" spans="1:10" x14ac:dyDescent="0.2">
      <c r="F66" s="17"/>
      <c r="G66" s="17"/>
      <c r="H66" s="20"/>
    </row>
    <row r="68" spans="1:10" x14ac:dyDescent="0.2">
      <c r="E68" s="4" t="s">
        <v>20</v>
      </c>
    </row>
    <row r="69" spans="1:10" x14ac:dyDescent="0.2">
      <c r="E69" s="11" t="s">
        <v>21</v>
      </c>
      <c r="F69" s="11"/>
      <c r="G69" s="11"/>
      <c r="H69" s="13">
        <f>G65</f>
        <v>57690</v>
      </c>
      <c r="I69" s="17"/>
      <c r="J69" s="17"/>
    </row>
    <row r="70" spans="1:10" x14ac:dyDescent="0.2">
      <c r="E70" s="2" t="s">
        <v>22</v>
      </c>
      <c r="H70" s="3">
        <f>H65</f>
        <v>49000</v>
      </c>
      <c r="I70" s="17"/>
      <c r="J70" s="17"/>
    </row>
    <row r="71" spans="1:10" x14ac:dyDescent="0.2">
      <c r="E71" s="21" t="s">
        <v>23</v>
      </c>
      <c r="F71" s="21"/>
      <c r="G71" s="21"/>
      <c r="H71" s="13">
        <v>0</v>
      </c>
    </row>
    <row r="72" spans="1:10" x14ac:dyDescent="0.2">
      <c r="E72" s="22" t="s">
        <v>24</v>
      </c>
      <c r="F72" s="22"/>
      <c r="G72" s="22"/>
      <c r="H72" s="3">
        <f>SUM(H69:H71)</f>
        <v>106690</v>
      </c>
    </row>
    <row r="73" spans="1:10" x14ac:dyDescent="0.2">
      <c r="E73" s="11" t="s">
        <v>25</v>
      </c>
      <c r="F73" s="11" t="s">
        <v>26</v>
      </c>
      <c r="G73" s="11"/>
      <c r="H73" s="13">
        <v>0</v>
      </c>
    </row>
    <row r="74" spans="1:10" x14ac:dyDescent="0.2">
      <c r="E74" s="11"/>
      <c r="F74" s="11" t="s">
        <v>27</v>
      </c>
      <c r="G74" s="11"/>
      <c r="H74" s="3">
        <v>0</v>
      </c>
      <c r="J74" s="17"/>
    </row>
    <row r="75" spans="1:10" x14ac:dyDescent="0.2">
      <c r="E75" s="23"/>
      <c r="F75" s="11" t="s">
        <v>38</v>
      </c>
      <c r="G75" s="23"/>
      <c r="H75" s="28">
        <v>0</v>
      </c>
      <c r="J75" s="17"/>
    </row>
    <row r="76" spans="1:10" ht="15" thickBot="1" x14ac:dyDescent="0.25">
      <c r="E76" s="4" t="s">
        <v>28</v>
      </c>
      <c r="H76" s="24">
        <f>SUM(H72:H75)</f>
        <v>106690</v>
      </c>
    </row>
    <row r="77" spans="1:10" ht="15" thickTop="1" x14ac:dyDescent="0.2"/>
    <row r="78" spans="1:10" x14ac:dyDescent="0.2">
      <c r="A78" s="25" t="s">
        <v>29</v>
      </c>
      <c r="B78" s="26" t="s">
        <v>30</v>
      </c>
      <c r="F78" s="26" t="s">
        <v>31</v>
      </c>
    </row>
    <row r="79" spans="1:10" x14ac:dyDescent="0.2">
      <c r="B79" s="26" t="s">
        <v>32</v>
      </c>
      <c r="F79" s="26" t="s">
        <v>33</v>
      </c>
    </row>
    <row r="81" spans="1:1" x14ac:dyDescent="0.2">
      <c r="A81" s="25" t="s">
        <v>34</v>
      </c>
    </row>
    <row r="82" spans="1:1" x14ac:dyDescent="0.2">
      <c r="A82" s="25" t="s">
        <v>35</v>
      </c>
    </row>
  </sheetData>
  <mergeCells count="1">
    <mergeCell ref="A14:E14"/>
  </mergeCells>
  <pageMargins left="0.7" right="0.7" top="0.75" bottom="0.75" header="0.3" footer="0.3"/>
  <pageSetup scale="56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299D-1B8B-455A-8240-E2E46D3032B6}">
  <sheetPr>
    <pageSetUpPr fitToPage="1"/>
  </sheetPr>
  <dimension ref="A2:O82"/>
  <sheetViews>
    <sheetView tabSelected="1" topLeftCell="A60" zoomScale="87" zoomScaleNormal="87" workbookViewId="0">
      <selection activeCell="L81" sqref="L81"/>
    </sheetView>
  </sheetViews>
  <sheetFormatPr defaultColWidth="9.140625" defaultRowHeight="14.25" x14ac:dyDescent="0.2"/>
  <cols>
    <col min="1" max="1" width="16.28515625" style="2" customWidth="1"/>
    <col min="2" max="2" width="15.7109375" style="2" bestFit="1" customWidth="1"/>
    <col min="3" max="3" width="13.140625" style="2" customWidth="1"/>
    <col min="4" max="4" width="14" style="2" customWidth="1"/>
    <col min="5" max="5" width="13" style="2" customWidth="1"/>
    <col min="6" max="6" width="13.5703125" style="2" customWidth="1"/>
    <col min="7" max="7" width="14" style="2" customWidth="1"/>
    <col min="8" max="8" width="16.28515625" style="3" customWidth="1"/>
    <col min="9" max="11" width="12.28515625" style="2" bestFit="1" customWidth="1"/>
    <col min="12" max="16384" width="9.140625" style="2"/>
  </cols>
  <sheetData>
    <row r="2" spans="1:8" ht="25.5" x14ac:dyDescent="0.35">
      <c r="A2" s="1" t="s">
        <v>0</v>
      </c>
      <c r="E2" s="2" t="s">
        <v>41</v>
      </c>
    </row>
    <row r="3" spans="1:8" x14ac:dyDescent="0.2">
      <c r="A3" s="2" t="s">
        <v>1</v>
      </c>
      <c r="B3" s="4">
        <v>2605006</v>
      </c>
      <c r="E3" s="2" t="s">
        <v>39</v>
      </c>
    </row>
    <row r="4" spans="1:8" x14ac:dyDescent="0.2">
      <c r="E4" s="2" t="s">
        <v>42</v>
      </c>
    </row>
    <row r="5" spans="1:8" x14ac:dyDescent="0.2">
      <c r="E5" s="2" t="s">
        <v>47</v>
      </c>
    </row>
    <row r="6" spans="1:8" x14ac:dyDescent="0.2">
      <c r="B6" s="22"/>
      <c r="C6" s="22"/>
      <c r="D6" s="22"/>
    </row>
    <row r="7" spans="1:8" x14ac:dyDescent="0.2">
      <c r="A7" s="2" t="s">
        <v>2</v>
      </c>
      <c r="B7" s="5" t="s">
        <v>50</v>
      </c>
      <c r="C7" s="29"/>
      <c r="D7" s="29"/>
      <c r="E7" s="2" t="s">
        <v>3</v>
      </c>
      <c r="F7" s="31" t="s">
        <v>98</v>
      </c>
      <c r="G7" s="8"/>
      <c r="H7" s="9"/>
    </row>
    <row r="8" spans="1:8" x14ac:dyDescent="0.2">
      <c r="A8" s="2" t="s">
        <v>4</v>
      </c>
      <c r="B8" s="37" t="s">
        <v>58</v>
      </c>
      <c r="C8" s="21"/>
      <c r="D8" s="21"/>
      <c r="E8" s="2" t="s">
        <v>5</v>
      </c>
      <c r="F8" s="12" t="s">
        <v>48</v>
      </c>
      <c r="G8" s="6"/>
      <c r="H8" s="9"/>
    </row>
    <row r="9" spans="1:8" x14ac:dyDescent="0.2">
      <c r="A9" s="2" t="s">
        <v>6</v>
      </c>
      <c r="B9" s="36" t="s">
        <v>54</v>
      </c>
      <c r="C9" s="21"/>
      <c r="D9" s="21"/>
      <c r="E9" s="2" t="s">
        <v>8</v>
      </c>
      <c r="F9" s="12" t="s">
        <v>52</v>
      </c>
      <c r="G9" s="6"/>
      <c r="H9" s="9"/>
    </row>
    <row r="10" spans="1:8" x14ac:dyDescent="0.2">
      <c r="A10" s="2" t="s">
        <v>9</v>
      </c>
      <c r="B10" s="5" t="s">
        <v>7</v>
      </c>
      <c r="C10" s="29"/>
      <c r="D10" s="29"/>
      <c r="E10" s="2" t="s">
        <v>10</v>
      </c>
      <c r="F10" s="7" t="s">
        <v>53</v>
      </c>
      <c r="G10" s="11"/>
      <c r="H10" s="13"/>
    </row>
    <row r="11" spans="1:8" x14ac:dyDescent="0.2">
      <c r="A11" s="2" t="s">
        <v>11</v>
      </c>
      <c r="B11" s="5" t="s">
        <v>7</v>
      </c>
      <c r="C11" s="29"/>
      <c r="D11" s="29"/>
      <c r="E11" s="2" t="s">
        <v>12</v>
      </c>
      <c r="F11" s="7" t="s">
        <v>57</v>
      </c>
      <c r="G11" s="11"/>
      <c r="H11" s="13"/>
    </row>
    <row r="12" spans="1:8" x14ac:dyDescent="0.2">
      <c r="A12" s="2" t="s">
        <v>13</v>
      </c>
      <c r="B12" s="10" t="s">
        <v>55</v>
      </c>
      <c r="C12" s="21"/>
      <c r="D12" s="21"/>
      <c r="E12" s="2" t="s">
        <v>14</v>
      </c>
      <c r="F12" s="30" t="s">
        <v>56</v>
      </c>
      <c r="G12" s="11"/>
      <c r="H12" s="13"/>
    </row>
    <row r="14" spans="1:8" x14ac:dyDescent="0.2">
      <c r="A14" s="48" t="s">
        <v>15</v>
      </c>
      <c r="B14" s="48"/>
      <c r="C14" s="48"/>
      <c r="D14" s="48"/>
      <c r="E14" s="48"/>
      <c r="F14" s="14"/>
      <c r="G14" s="14" t="s">
        <v>36</v>
      </c>
      <c r="H14" s="15" t="s">
        <v>37</v>
      </c>
    </row>
    <row r="15" spans="1:8" x14ac:dyDescent="0.2">
      <c r="A15" s="16"/>
      <c r="F15" s="27"/>
      <c r="G15" s="3"/>
    </row>
    <row r="16" spans="1:8" x14ac:dyDescent="0.2">
      <c r="A16" s="16" t="s">
        <v>16</v>
      </c>
      <c r="F16" s="27"/>
      <c r="G16" s="3"/>
    </row>
    <row r="17" spans="1:9" x14ac:dyDescent="0.2">
      <c r="A17" s="2" t="s">
        <v>59</v>
      </c>
      <c r="C17" s="34" t="s">
        <v>77</v>
      </c>
      <c r="F17" s="27"/>
      <c r="G17" s="3">
        <v>7000</v>
      </c>
    </row>
    <row r="18" spans="1:9" x14ac:dyDescent="0.2">
      <c r="A18" s="2" t="s">
        <v>60</v>
      </c>
      <c r="C18" s="34" t="s">
        <v>77</v>
      </c>
      <c r="F18" s="27"/>
      <c r="G18" s="3">
        <v>4500</v>
      </c>
    </row>
    <row r="19" spans="1:9" x14ac:dyDescent="0.2">
      <c r="A19" s="2" t="s">
        <v>63</v>
      </c>
      <c r="C19" s="34" t="s">
        <v>77</v>
      </c>
      <c r="F19" s="27"/>
      <c r="G19" s="3">
        <v>3800</v>
      </c>
    </row>
    <row r="20" spans="1:9" x14ac:dyDescent="0.2">
      <c r="A20" s="2" t="s">
        <v>70</v>
      </c>
      <c r="C20" s="34" t="s">
        <v>77</v>
      </c>
      <c r="F20" s="27"/>
      <c r="G20" s="3">
        <v>6800</v>
      </c>
    </row>
    <row r="21" spans="1:9" x14ac:dyDescent="0.2">
      <c r="A21" s="2" t="s">
        <v>86</v>
      </c>
      <c r="C21" s="34" t="s">
        <v>77</v>
      </c>
      <c r="F21" s="27"/>
      <c r="G21" s="3">
        <v>3000</v>
      </c>
    </row>
    <row r="22" spans="1:9" x14ac:dyDescent="0.2">
      <c r="A22" s="2" t="s">
        <v>62</v>
      </c>
      <c r="C22" s="34" t="s">
        <v>77</v>
      </c>
      <c r="F22" s="27"/>
      <c r="G22" s="3">
        <v>11300</v>
      </c>
    </row>
    <row r="23" spans="1:9" x14ac:dyDescent="0.2">
      <c r="A23" s="2" t="s">
        <v>68</v>
      </c>
      <c r="C23" s="34" t="s">
        <v>78</v>
      </c>
      <c r="F23" s="27"/>
      <c r="G23" s="3">
        <v>6000</v>
      </c>
    </row>
    <row r="24" spans="1:9" x14ac:dyDescent="0.2">
      <c r="A24" s="2" t="s">
        <v>69</v>
      </c>
      <c r="C24" s="34" t="s">
        <v>78</v>
      </c>
      <c r="F24" s="27"/>
      <c r="G24" s="3">
        <v>6000</v>
      </c>
    </row>
    <row r="25" spans="1:9" x14ac:dyDescent="0.2">
      <c r="A25" s="2" t="s">
        <v>90</v>
      </c>
      <c r="C25" s="34" t="s">
        <v>91</v>
      </c>
      <c r="F25" s="27"/>
      <c r="G25" s="3">
        <v>290</v>
      </c>
    </row>
    <row r="26" spans="1:9" x14ac:dyDescent="0.2">
      <c r="F26" s="27"/>
      <c r="G26" s="3"/>
    </row>
    <row r="27" spans="1:9" x14ac:dyDescent="0.2">
      <c r="A27" s="16" t="s">
        <v>17</v>
      </c>
      <c r="F27" s="3"/>
      <c r="G27" s="3"/>
    </row>
    <row r="28" spans="1:9" x14ac:dyDescent="0.2">
      <c r="A28" s="11" t="s">
        <v>43</v>
      </c>
      <c r="B28" s="11"/>
      <c r="C28" s="11"/>
      <c r="D28" s="11"/>
      <c r="E28" s="11"/>
      <c r="F28" s="13"/>
      <c r="G28" s="13"/>
      <c r="H28" s="43">
        <v>21000</v>
      </c>
      <c r="I28" s="17"/>
    </row>
    <row r="29" spans="1:9" x14ac:dyDescent="0.2">
      <c r="A29" s="2" t="s">
        <v>49</v>
      </c>
      <c r="F29" s="20"/>
      <c r="G29" s="20"/>
      <c r="H29" s="35"/>
      <c r="I29" s="17"/>
    </row>
    <row r="30" spans="1:9" x14ac:dyDescent="0.2">
      <c r="A30" s="2" t="s">
        <v>66</v>
      </c>
      <c r="F30" s="20"/>
      <c r="G30" s="20"/>
      <c r="H30" s="35"/>
      <c r="I30" s="17"/>
    </row>
    <row r="31" spans="1:9" x14ac:dyDescent="0.2">
      <c r="A31" s="2" t="s">
        <v>67</v>
      </c>
      <c r="F31" s="20"/>
      <c r="G31" s="20"/>
      <c r="H31" s="35"/>
      <c r="I31" s="17"/>
    </row>
    <row r="32" spans="1:9" x14ac:dyDescent="0.2">
      <c r="A32" s="2" t="s">
        <v>71</v>
      </c>
      <c r="F32" s="20"/>
      <c r="G32" s="20"/>
      <c r="H32" s="35"/>
      <c r="I32" s="17"/>
    </row>
    <row r="33" spans="1:15" x14ac:dyDescent="0.2">
      <c r="A33" s="2" t="s">
        <v>72</v>
      </c>
      <c r="F33" s="20"/>
      <c r="G33" s="20"/>
      <c r="H33" s="35"/>
      <c r="I33" s="17"/>
    </row>
    <row r="34" spans="1:15" x14ac:dyDescent="0.2">
      <c r="A34" s="2" t="s">
        <v>73</v>
      </c>
      <c r="F34" s="20"/>
      <c r="G34" s="20"/>
      <c r="H34" s="35"/>
      <c r="I34" s="17"/>
    </row>
    <row r="35" spans="1:15" x14ac:dyDescent="0.2">
      <c r="A35" s="2" t="s">
        <v>64</v>
      </c>
      <c r="F35" s="20"/>
      <c r="G35" s="20"/>
      <c r="H35" s="35"/>
      <c r="I35" s="17"/>
      <c r="J35" s="35"/>
      <c r="K35" s="35"/>
      <c r="L35" s="35"/>
      <c r="M35" s="35"/>
      <c r="O35" s="35"/>
    </row>
    <row r="36" spans="1:15" x14ac:dyDescent="0.2">
      <c r="A36" s="42" t="s">
        <v>61</v>
      </c>
      <c r="B36" s="42"/>
      <c r="C36" s="34"/>
      <c r="F36" s="27"/>
      <c r="G36" s="3"/>
    </row>
    <row r="37" spans="1:15" x14ac:dyDescent="0.2">
      <c r="A37" s="42" t="s">
        <v>65</v>
      </c>
      <c r="B37" s="42"/>
      <c r="C37" s="34"/>
      <c r="F37" s="27"/>
      <c r="G37" s="3"/>
    </row>
    <row r="38" spans="1:15" x14ac:dyDescent="0.2">
      <c r="F38" s="20"/>
      <c r="G38" s="20"/>
      <c r="H38" s="35"/>
      <c r="I38" s="17"/>
    </row>
    <row r="39" spans="1:15" x14ac:dyDescent="0.2">
      <c r="A39" s="2" t="s">
        <v>44</v>
      </c>
      <c r="F39" s="3"/>
      <c r="I39" s="17"/>
    </row>
    <row r="40" spans="1:15" x14ac:dyDescent="0.2">
      <c r="F40" s="3"/>
      <c r="I40" s="17"/>
    </row>
    <row r="41" spans="1:15" x14ac:dyDescent="0.2">
      <c r="A41" s="11" t="s">
        <v>87</v>
      </c>
      <c r="B41" s="11"/>
      <c r="C41" s="11"/>
      <c r="D41" s="11"/>
      <c r="E41" s="11"/>
      <c r="F41" s="13"/>
      <c r="G41" s="11"/>
      <c r="H41" s="13">
        <v>1500</v>
      </c>
      <c r="I41" s="17"/>
    </row>
    <row r="42" spans="1:15" x14ac:dyDescent="0.2">
      <c r="A42" s="2" t="s">
        <v>88</v>
      </c>
      <c r="F42" s="20"/>
      <c r="H42" s="20"/>
      <c r="I42" s="17"/>
    </row>
    <row r="43" spans="1:15" x14ac:dyDescent="0.2">
      <c r="A43" s="2" t="s">
        <v>81</v>
      </c>
      <c r="F43" s="3"/>
      <c r="I43" s="17"/>
    </row>
    <row r="44" spans="1:15" x14ac:dyDescent="0.2">
      <c r="F44" s="3"/>
      <c r="I44" s="17"/>
    </row>
    <row r="45" spans="1:15" x14ac:dyDescent="0.2">
      <c r="A45" s="11" t="s">
        <v>79</v>
      </c>
      <c r="B45" s="11"/>
      <c r="C45" s="11"/>
      <c r="D45" s="11"/>
      <c r="E45" s="11"/>
      <c r="F45" s="13"/>
      <c r="G45" s="11"/>
      <c r="H45" s="13">
        <v>2000</v>
      </c>
      <c r="I45" s="17"/>
    </row>
    <row r="46" spans="1:15" x14ac:dyDescent="0.2">
      <c r="A46" s="2" t="s">
        <v>80</v>
      </c>
      <c r="F46" s="3"/>
      <c r="I46" s="17"/>
    </row>
    <row r="47" spans="1:15" x14ac:dyDescent="0.2">
      <c r="A47" s="2" t="s">
        <v>89</v>
      </c>
      <c r="F47" s="3"/>
      <c r="I47" s="17"/>
    </row>
    <row r="48" spans="1:15" x14ac:dyDescent="0.2">
      <c r="A48" s="2" t="s">
        <v>81</v>
      </c>
      <c r="F48" s="3"/>
      <c r="I48" s="17"/>
    </row>
    <row r="49" spans="1:9" x14ac:dyDescent="0.2">
      <c r="A49" s="2" t="s">
        <v>82</v>
      </c>
      <c r="F49" s="3"/>
      <c r="I49" s="17"/>
    </row>
    <row r="50" spans="1:9" x14ac:dyDescent="0.2">
      <c r="A50" s="2" t="s">
        <v>83</v>
      </c>
      <c r="F50" s="3"/>
      <c r="I50" s="17"/>
    </row>
    <row r="51" spans="1:9" x14ac:dyDescent="0.2">
      <c r="F51" s="3"/>
      <c r="I51" s="17"/>
    </row>
    <row r="52" spans="1:9" x14ac:dyDescent="0.2">
      <c r="A52" s="11" t="s">
        <v>45</v>
      </c>
      <c r="B52" s="13"/>
      <c r="C52" s="13"/>
      <c r="D52" s="13"/>
      <c r="E52" s="13"/>
      <c r="F52" s="13"/>
      <c r="G52" s="13"/>
      <c r="H52" s="13">
        <v>25500</v>
      </c>
      <c r="I52" s="17"/>
    </row>
    <row r="53" spans="1:9" x14ac:dyDescent="0.2">
      <c r="A53" s="2" t="s">
        <v>46</v>
      </c>
      <c r="F53" s="3"/>
      <c r="I53" s="17"/>
    </row>
    <row r="54" spans="1:9" x14ac:dyDescent="0.2">
      <c r="A54" s="2" t="s">
        <v>60</v>
      </c>
      <c r="F54" s="3"/>
      <c r="I54" s="17"/>
    </row>
    <row r="55" spans="1:9" x14ac:dyDescent="0.2">
      <c r="A55" s="2" t="s">
        <v>59</v>
      </c>
      <c r="F55" s="3"/>
      <c r="I55" s="17"/>
    </row>
    <row r="56" spans="1:9" x14ac:dyDescent="0.2">
      <c r="A56" s="2" t="s">
        <v>66</v>
      </c>
      <c r="F56" s="3"/>
      <c r="I56" s="17"/>
    </row>
    <row r="57" spans="1:9" x14ac:dyDescent="0.2">
      <c r="A57" s="2" t="s">
        <v>74</v>
      </c>
      <c r="F57" s="3"/>
      <c r="I57" s="17"/>
    </row>
    <row r="58" spans="1:9" x14ac:dyDescent="0.2">
      <c r="A58" s="2" t="s">
        <v>67</v>
      </c>
      <c r="F58" s="3"/>
      <c r="I58" s="17"/>
    </row>
    <row r="59" spans="1:9" x14ac:dyDescent="0.2">
      <c r="A59" s="2" t="s">
        <v>64</v>
      </c>
      <c r="F59" s="3"/>
      <c r="I59" s="17"/>
    </row>
    <row r="60" spans="1:9" x14ac:dyDescent="0.2">
      <c r="A60" s="2" t="s">
        <v>84</v>
      </c>
      <c r="F60" s="3"/>
      <c r="I60" s="17"/>
    </row>
    <row r="61" spans="1:9" x14ac:dyDescent="0.2">
      <c r="A61" s="2" t="s">
        <v>85</v>
      </c>
      <c r="F61" s="3"/>
      <c r="I61" s="17"/>
    </row>
    <row r="62" spans="1:9" x14ac:dyDescent="0.2">
      <c r="F62" s="3"/>
      <c r="I62" s="17"/>
    </row>
    <row r="63" spans="1:9" x14ac:dyDescent="0.2">
      <c r="D63" s="2" t="s">
        <v>18</v>
      </c>
    </row>
    <row r="64" spans="1:9" x14ac:dyDescent="0.2">
      <c r="D64" s="2" t="s">
        <v>40</v>
      </c>
    </row>
    <row r="65" spans="1:10" x14ac:dyDescent="0.2">
      <c r="A65" s="18"/>
      <c r="B65" s="11"/>
      <c r="C65" s="11"/>
      <c r="D65" s="11"/>
      <c r="E65" s="11" t="s">
        <v>19</v>
      </c>
      <c r="F65" s="19"/>
      <c r="G65" s="19">
        <f>SUM(G15:G64)</f>
        <v>48690</v>
      </c>
      <c r="H65" s="19">
        <f>SUM(H15:H64)</f>
        <v>50000</v>
      </c>
    </row>
    <row r="66" spans="1:10" x14ac:dyDescent="0.2">
      <c r="F66" s="17"/>
      <c r="G66" s="17"/>
      <c r="H66" s="20"/>
    </row>
    <row r="68" spans="1:10" x14ac:dyDescent="0.2">
      <c r="E68" s="4" t="s">
        <v>20</v>
      </c>
    </row>
    <row r="69" spans="1:10" x14ac:dyDescent="0.2">
      <c r="E69" s="11" t="s">
        <v>21</v>
      </c>
      <c r="F69" s="11"/>
      <c r="G69" s="11"/>
      <c r="H69" s="13">
        <f>G65</f>
        <v>48690</v>
      </c>
      <c r="I69" s="17"/>
      <c r="J69" s="17"/>
    </row>
    <row r="70" spans="1:10" x14ac:dyDescent="0.2">
      <c r="E70" s="2" t="s">
        <v>22</v>
      </c>
      <c r="H70" s="3">
        <f>H65</f>
        <v>50000</v>
      </c>
      <c r="I70" s="17"/>
      <c r="J70" s="17"/>
    </row>
    <row r="71" spans="1:10" x14ac:dyDescent="0.2">
      <c r="E71" s="21" t="s">
        <v>23</v>
      </c>
      <c r="F71" s="21"/>
      <c r="G71" s="21"/>
      <c r="H71" s="13"/>
    </row>
    <row r="72" spans="1:10" x14ac:dyDescent="0.2">
      <c r="E72" s="22" t="s">
        <v>24</v>
      </c>
      <c r="F72" s="22"/>
      <c r="G72" s="22"/>
      <c r="H72" s="3">
        <f>SUM(H69:H71)</f>
        <v>98690</v>
      </c>
    </row>
    <row r="73" spans="1:10" x14ac:dyDescent="0.2">
      <c r="E73" s="11" t="s">
        <v>25</v>
      </c>
      <c r="F73" s="11" t="s">
        <v>26</v>
      </c>
      <c r="G73" s="11"/>
      <c r="H73" s="13">
        <v>0</v>
      </c>
    </row>
    <row r="74" spans="1:10" x14ac:dyDescent="0.2">
      <c r="E74" s="11"/>
      <c r="F74" s="11" t="s">
        <v>27</v>
      </c>
      <c r="G74" s="11"/>
      <c r="H74" s="3">
        <v>0</v>
      </c>
      <c r="J74" s="17"/>
    </row>
    <row r="75" spans="1:10" x14ac:dyDescent="0.2">
      <c r="E75" s="23"/>
      <c r="F75" s="11" t="s">
        <v>38</v>
      </c>
      <c r="G75" s="44" t="s">
        <v>97</v>
      </c>
      <c r="H75" s="43">
        <v>-10000</v>
      </c>
      <c r="J75" s="17"/>
    </row>
    <row r="76" spans="1:10" ht="15" thickBot="1" x14ac:dyDescent="0.25">
      <c r="E76" s="4" t="s">
        <v>28</v>
      </c>
      <c r="H76" s="45">
        <f>SUM(H72:H75)</f>
        <v>88690</v>
      </c>
    </row>
    <row r="77" spans="1:10" ht="15" thickTop="1" x14ac:dyDescent="0.2"/>
    <row r="78" spans="1:10" x14ac:dyDescent="0.2">
      <c r="A78" s="25" t="s">
        <v>29</v>
      </c>
      <c r="B78" s="26" t="s">
        <v>30</v>
      </c>
      <c r="F78" s="26" t="s">
        <v>31</v>
      </c>
    </row>
    <row r="79" spans="1:10" x14ac:dyDescent="0.2">
      <c r="B79" s="26" t="s">
        <v>32</v>
      </c>
      <c r="F79" s="26" t="s">
        <v>33</v>
      </c>
    </row>
    <row r="81" spans="1:1" x14ac:dyDescent="0.2">
      <c r="A81" s="25" t="s">
        <v>34</v>
      </c>
    </row>
    <row r="82" spans="1:1" x14ac:dyDescent="0.2">
      <c r="A82" s="25" t="s">
        <v>35</v>
      </c>
    </row>
  </sheetData>
  <mergeCells count="1">
    <mergeCell ref="A14:E14"/>
  </mergeCells>
  <pageMargins left="0.7" right="0.7" top="0.75" bottom="0.75" header="0.3" footer="0.3"/>
  <pageSetup scale="56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5AAB-69F0-49E3-9B4E-54D81CDFCB32}">
  <dimension ref="B2:L15"/>
  <sheetViews>
    <sheetView workbookViewId="0">
      <selection activeCell="G15" sqref="G15"/>
    </sheetView>
  </sheetViews>
  <sheetFormatPr defaultColWidth="9.140625" defaultRowHeight="14.25" x14ac:dyDescent="0.2"/>
  <cols>
    <col min="1" max="1" width="9.140625" style="2"/>
    <col min="2" max="2" width="31.5703125" style="2" customWidth="1"/>
    <col min="3" max="3" width="13.42578125" style="17" customWidth="1"/>
    <col min="4" max="5" width="12.28515625" style="17" customWidth="1"/>
    <col min="6" max="6" width="11" style="17" customWidth="1"/>
    <col min="7" max="8" width="11.42578125" style="17" customWidth="1"/>
    <col min="9" max="9" width="13.5703125" style="17" customWidth="1"/>
    <col min="10" max="10" width="15.42578125" style="17" customWidth="1"/>
    <col min="11" max="11" width="12.140625" style="17" bestFit="1" customWidth="1"/>
    <col min="12" max="16384" width="9.140625" style="2"/>
  </cols>
  <sheetData>
    <row r="2" spans="2:12" x14ac:dyDescent="0.2">
      <c r="B2" s="32" t="s">
        <v>36</v>
      </c>
      <c r="C2" s="33" t="s">
        <v>75</v>
      </c>
      <c r="D2" s="38">
        <v>0.5</v>
      </c>
      <c r="E2" s="33" t="s">
        <v>76</v>
      </c>
      <c r="F2" s="33" t="s">
        <v>92</v>
      </c>
      <c r="G2" s="33" t="s">
        <v>95</v>
      </c>
      <c r="H2" s="38">
        <v>0.5</v>
      </c>
      <c r="I2" s="33" t="s">
        <v>94</v>
      </c>
      <c r="J2" s="33" t="s">
        <v>93</v>
      </c>
      <c r="K2" s="33" t="s">
        <v>96</v>
      </c>
    </row>
    <row r="3" spans="2:12" x14ac:dyDescent="0.2">
      <c r="B3" s="2" t="s">
        <v>59</v>
      </c>
      <c r="C3" s="17">
        <v>4500</v>
      </c>
      <c r="D3" s="17">
        <f>C3*1.5</f>
        <v>6750</v>
      </c>
      <c r="G3" s="17">
        <v>5000</v>
      </c>
      <c r="H3" s="17">
        <f>G3*1.5</f>
        <v>7500</v>
      </c>
      <c r="I3" s="17">
        <v>4500</v>
      </c>
      <c r="J3" s="3">
        <v>7000</v>
      </c>
      <c r="K3" s="17">
        <f>J3-I3</f>
        <v>2500</v>
      </c>
    </row>
    <row r="4" spans="2:12" x14ac:dyDescent="0.2">
      <c r="B4" s="2" t="s">
        <v>60</v>
      </c>
      <c r="C4" s="17">
        <v>3000</v>
      </c>
      <c r="D4" s="17">
        <f t="shared" ref="D4:D12" si="0">C4*1.5</f>
        <v>4500</v>
      </c>
      <c r="G4" s="17">
        <v>2500</v>
      </c>
      <c r="H4" s="17">
        <f>G4*1.5</f>
        <v>3750</v>
      </c>
      <c r="I4" s="17">
        <v>3000</v>
      </c>
      <c r="J4" s="3">
        <v>4500</v>
      </c>
      <c r="K4" s="17">
        <f t="shared" ref="K4:K13" si="1">J4-I4</f>
        <v>1500</v>
      </c>
    </row>
    <row r="5" spans="2:12" x14ac:dyDescent="0.2">
      <c r="B5" s="42" t="s">
        <v>61</v>
      </c>
      <c r="C5" s="46">
        <v>3000</v>
      </c>
      <c r="D5" s="46">
        <f t="shared" si="0"/>
        <v>4500</v>
      </c>
      <c r="E5" s="46"/>
      <c r="F5" s="46"/>
      <c r="G5" s="46">
        <v>0</v>
      </c>
      <c r="H5" s="46"/>
      <c r="I5" s="46">
        <v>3000</v>
      </c>
      <c r="J5" s="47">
        <v>4500</v>
      </c>
      <c r="K5" s="46">
        <f t="shared" si="1"/>
        <v>1500</v>
      </c>
    </row>
    <row r="6" spans="2:12" x14ac:dyDescent="0.2">
      <c r="B6" s="2" t="s">
        <v>63</v>
      </c>
      <c r="C6" s="17">
        <v>2300</v>
      </c>
      <c r="D6" s="17">
        <f t="shared" si="0"/>
        <v>3450</v>
      </c>
      <c r="G6" s="17">
        <v>2000</v>
      </c>
      <c r="H6" s="17">
        <f>G6*1.5</f>
        <v>3000</v>
      </c>
      <c r="I6" s="17">
        <v>2300</v>
      </c>
      <c r="J6" s="3">
        <v>3800</v>
      </c>
      <c r="K6" s="17">
        <f t="shared" si="1"/>
        <v>1500</v>
      </c>
    </row>
    <row r="7" spans="2:12" x14ac:dyDescent="0.2">
      <c r="B7" s="42" t="s">
        <v>65</v>
      </c>
      <c r="C7" s="46">
        <v>3000</v>
      </c>
      <c r="D7" s="46">
        <f t="shared" si="0"/>
        <v>4500</v>
      </c>
      <c r="E7" s="46"/>
      <c r="F7" s="46"/>
      <c r="G7" s="46">
        <v>0</v>
      </c>
      <c r="H7" s="46"/>
      <c r="I7" s="46">
        <v>3000</v>
      </c>
      <c r="J7" s="47">
        <v>4500</v>
      </c>
      <c r="K7" s="46">
        <f t="shared" si="1"/>
        <v>1500</v>
      </c>
    </row>
    <row r="8" spans="2:12" x14ac:dyDescent="0.2">
      <c r="B8" s="2" t="s">
        <v>70</v>
      </c>
      <c r="C8" s="17">
        <v>4000</v>
      </c>
      <c r="D8" s="17">
        <f t="shared" si="0"/>
        <v>6000</v>
      </c>
      <c r="G8" s="17">
        <v>4500</v>
      </c>
      <c r="I8" s="17">
        <v>4000</v>
      </c>
      <c r="J8" s="3">
        <v>6800</v>
      </c>
      <c r="K8" s="17">
        <f t="shared" si="1"/>
        <v>2800</v>
      </c>
    </row>
    <row r="9" spans="2:12" x14ac:dyDescent="0.2">
      <c r="B9" s="2" t="s">
        <v>86</v>
      </c>
      <c r="C9" s="17">
        <v>1000</v>
      </c>
      <c r="D9" s="17">
        <f t="shared" ref="D9" si="2">C9*1.5</f>
        <v>1500</v>
      </c>
      <c r="G9" s="17">
        <v>0</v>
      </c>
      <c r="I9" s="17">
        <v>1000</v>
      </c>
      <c r="J9" s="3">
        <v>3000</v>
      </c>
      <c r="K9" s="17">
        <f t="shared" si="1"/>
        <v>2000</v>
      </c>
    </row>
    <row r="10" spans="2:12" x14ac:dyDescent="0.2">
      <c r="B10" s="2" t="s">
        <v>62</v>
      </c>
      <c r="C10" s="17">
        <v>7000</v>
      </c>
      <c r="D10" s="17">
        <f t="shared" si="0"/>
        <v>10500</v>
      </c>
      <c r="G10" s="17">
        <v>5500</v>
      </c>
      <c r="H10" s="17">
        <f>G10*1.5</f>
        <v>8250</v>
      </c>
      <c r="I10" s="17">
        <v>7000</v>
      </c>
      <c r="J10" s="3">
        <v>11300</v>
      </c>
      <c r="K10" s="17">
        <f t="shared" si="1"/>
        <v>4300</v>
      </c>
    </row>
    <row r="11" spans="2:12" x14ac:dyDescent="0.2">
      <c r="B11" s="2" t="s">
        <v>68</v>
      </c>
      <c r="D11" s="17">
        <f t="shared" si="0"/>
        <v>0</v>
      </c>
      <c r="E11" s="17">
        <v>4000</v>
      </c>
      <c r="G11" s="17">
        <v>0</v>
      </c>
      <c r="I11" s="17">
        <v>4000</v>
      </c>
      <c r="J11" s="3">
        <v>6000</v>
      </c>
      <c r="K11" s="17">
        <f t="shared" si="1"/>
        <v>2000</v>
      </c>
    </row>
    <row r="12" spans="2:12" x14ac:dyDescent="0.2">
      <c r="B12" s="2" t="s">
        <v>69</v>
      </c>
      <c r="D12" s="17">
        <f t="shared" si="0"/>
        <v>0</v>
      </c>
      <c r="E12" s="17">
        <v>4000</v>
      </c>
      <c r="G12" s="17">
        <v>0</v>
      </c>
      <c r="I12" s="17">
        <v>4000</v>
      </c>
      <c r="J12" s="3">
        <v>6000</v>
      </c>
      <c r="K12" s="17">
        <f t="shared" si="1"/>
        <v>2000</v>
      </c>
    </row>
    <row r="13" spans="2:12" x14ac:dyDescent="0.2">
      <c r="B13" s="2" t="s">
        <v>90</v>
      </c>
      <c r="F13" s="17">
        <v>190</v>
      </c>
      <c r="G13" s="17">
        <v>0</v>
      </c>
      <c r="I13" s="17">
        <v>190</v>
      </c>
      <c r="J13" s="3">
        <v>290</v>
      </c>
      <c r="K13" s="17">
        <f t="shared" si="1"/>
        <v>100</v>
      </c>
    </row>
    <row r="14" spans="2:12" x14ac:dyDescent="0.2">
      <c r="B14" s="2" t="s">
        <v>99</v>
      </c>
      <c r="G14" s="17">
        <v>-2500</v>
      </c>
      <c r="J14" s="3"/>
    </row>
    <row r="15" spans="2:12" x14ac:dyDescent="0.2">
      <c r="G15" s="17">
        <f>SUM(G3:G14)</f>
        <v>17000</v>
      </c>
      <c r="I15" s="39">
        <f>SUM(I3:I13)</f>
        <v>35990</v>
      </c>
      <c r="J15" s="40">
        <f>SUM(J3:J13)</f>
        <v>57690</v>
      </c>
      <c r="K15" s="39">
        <f>SUM(K3:K13)</f>
        <v>21700</v>
      </c>
      <c r="L15" s="41">
        <f>K15/J15</f>
        <v>0.37614837926850409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Initial</vt:lpstr>
      <vt:lpstr>R1</vt:lpstr>
      <vt:lpstr>PARTS</vt:lpstr>
      <vt:lpstr>Initial!Print_Area</vt:lpstr>
      <vt:lpstr>'R1'!Print_Area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Desiree Mercado</cp:lastModifiedBy>
  <cp:lastPrinted>2026-05-13T02:44:46Z</cp:lastPrinted>
  <dcterms:created xsi:type="dcterms:W3CDTF">2022-03-30T02:41:17Z</dcterms:created>
  <dcterms:modified xsi:type="dcterms:W3CDTF">2026-05-25T03:05:27Z</dcterms:modified>
</cp:coreProperties>
</file>